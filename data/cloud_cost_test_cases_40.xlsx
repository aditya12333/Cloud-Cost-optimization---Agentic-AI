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f1054cb75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258d4b7c77184cec"/>
    <x:sheet xmlns:r="http://schemas.openxmlformats.org/officeDocument/2006/relationships" name="Data Dictionary" sheetId="2" r:id="R05bb7ef85c064c4c"/>
    <x:sheet xmlns:r="http://schemas.openxmlformats.org/officeDocument/2006/relationships" name="Feature Relationships" sheetId="3" r:id="R755ff010ec7647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d5072abcab42cf" /><Relationship Type="http://schemas.openxmlformats.org/officeDocument/2006/relationships/theme" Target="/xl/theme/theme1.xml" Id="R4a1219b4efc44c1b" /><Relationship Type="http://schemas.microsoft.com/office/2022/11/relationships/FeaturePropertyBag" Target="/xl/featurePropertyBag/featurePropertyBag.xml" Id="R1ef3f3e4af1746e6" /><Relationship Type="http://schemas.openxmlformats.org/officeDocument/2006/relationships/sharedStrings" Target="/xl/sharedStrings.xml" Id="R4ee6dafb435549d8" /><Relationship Type="http://schemas.openxmlformats.org/officeDocument/2006/relationships/worksheet" Target="/xl/worksheets/sheet1.xml" Id="R258d4b7c77184cec" /><Relationship Type="http://schemas.openxmlformats.org/officeDocument/2006/relationships/worksheet" Target="/xl/worksheets/sheet2.xml" Id="R05bb7ef85c064c4c" /><Relationship Type="http://schemas.openxmlformats.org/officeDocument/2006/relationships/worksheet" Target="/xl/worksheets/sheet3.xml" Id="R755ff010ec7647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8" t="str">
        <x:v>current_cost</x:v>
      </x:c>
      <x:c r="B1" s="8" t="str">
        <x:v>baseline_cost</x:v>
      </x:c>
      <x:c r="C1" s="8" t="str">
        <x:v>current_usage</x:v>
      </x:c>
      <x:c r="D1" s="8" t="str">
        <x:v>baseline_usage</x:v>
      </x:c>
      <x:c r="E1" s="8" t="str">
        <x:v>recent_deployment</x:v>
      </x:c>
      <x:c r="F1" s="8" t="str">
        <x:v>expected_pattern</x:v>
      </x:c>
      <x:c r="G1" s="8" t="str">
        <x:v>true_state</x:v>
      </x:c>
      <x:c r="H1" s="8" t="str">
        <x:v>scenario_note</x:v>
      </x:c>
      <x:c r="I1" s="8" t="str">
        <x:v>cost_change_pct</x:v>
      </x:c>
      <x:c r="J1" s="8" t="str">
        <x:v>usage_change_pct</x:v>
      </x:c>
      <x:c r="K1" s="8" t="str">
        <x:v>baseline_unit_cost</x:v>
      </x:c>
      <x:c r="L1" s="8" t="str">
        <x:v>current_unit_cost</x:v>
      </x:c>
      <x:c r="M1" s="8" t="str">
        <x:v>unit_cost_change_pct</x:v>
      </x:c>
    </x:row>
    <x:row r="2">
      <x:c r="A2" s="14" t="n">
        <x:v>1040</x:v>
      </x:c>
      <x:c r="B2" s="14" t="n">
        <x:v>1000</x:v>
      </x:c>
      <x:c r="C2" s="14" t="n">
        <x:v>102000</x:v>
      </x:c>
      <x:c r="D2" s="14" t="n">
        <x:v>100000</x:v>
      </x:c>
      <x:c r="E2" s="15" t="b">
        <x:v>0</x:v>
      </x:c>
      <x:c r="F2" s="15" t="b">
        <x:v>0</x:v>
      </x:c>
      <x:c r="G2" s="14" t="str">
        <x:v>normal</x:v>
      </x:c>
      <x:c r="H2" s="14" t="str">
        <x:v>Small cost and usage movement.</x:v>
      </x:c>
      <x:c r="I2" s="18" t="n">
        <x:f>(A2-B2)/B2</x:f>
        <x:v>0.04</x:v>
      </x:c>
      <x:c r="J2" s="18" t="n">
        <x:f>(C2-D2)/D2</x:f>
        <x:v>0.02</x:v>
      </x:c>
      <x:c r="K2" s="20" t="n">
        <x:f>B2/D2</x:f>
        <x:v>0.01</x:v>
      </x:c>
      <x:c r="L2" s="20" t="n">
        <x:f>A2/C2</x:f>
        <x:v>0.01019607843137255</x:v>
      </x:c>
      <x:c r="M2" s="18" t="n">
        <x:f>(L2-K2)/K2</x:f>
        <x:v>0.019607843137254936</x:v>
      </x:c>
    </x:row>
    <x:row r="3">
      <x:c r="A3" s="14" t="n">
        <x:v>918</x:v>
      </x:c>
      <x:c r="B3" s="14" t="n">
        <x:v>900</x:v>
      </x:c>
      <x:c r="C3" s="14" t="n">
        <x:v>81000</x:v>
      </x:c>
      <x:c r="D3" s="14" t="n">
        <x:v>80000</x:v>
      </x:c>
      <x:c r="E3" s="15" t="b">
        <x:v>0</x:v>
      </x:c>
      <x:c r="F3" s="15" t="b">
        <x:v>0</x:v>
      </x:c>
      <x:c r="G3" s="14" t="str">
        <x:v>normal</x:v>
      </x:c>
      <x:c r="H3" s="14" t="str">
        <x:v>Small proportional increase.</x:v>
      </x:c>
      <x:c r="I3" s="18" t="n">
        <x:f>(A3-B3)/B3</x:f>
        <x:v>0.02</x:v>
      </x:c>
      <x:c r="J3" s="18" t="n">
        <x:f>(C3-D3)/D3</x:f>
        <x:v>0.0125</x:v>
      </x:c>
      <x:c r="K3" s="20" t="n">
        <x:f>B3/D3</x:f>
        <x:v>0.01125</x:v>
      </x:c>
      <x:c r="L3" s="20" t="n">
        <x:f>A3/C3</x:f>
        <x:v>0.011333333333333334</x:v>
      </x:c>
      <x:c r="M3" s="18" t="n">
        <x:f>(L3-K3)/K3</x:f>
        <x:v>0.007407407407407517</x:v>
      </x:c>
    </x:row>
    <x:row r="4">
      <x:c r="A4" s="14" t="n">
        <x:v>1140</x:v>
      </x:c>
      <x:c r="B4" s="14" t="n">
        <x:v>1200</x:v>
      </x:c>
      <x:c r="C4" s="14" t="n">
        <x:v>117000</x:v>
      </x:c>
      <x:c r="D4" s="14" t="n">
        <x:v>120000</x:v>
      </x:c>
      <x:c r="E4" s="15" t="b">
        <x:v>0</x:v>
      </x:c>
      <x:c r="F4" s="15" t="b">
        <x:v>0</x:v>
      </x:c>
      <x:c r="G4" s="14" t="str">
        <x:v>normal</x:v>
      </x:c>
      <x:c r="H4" s="14" t="str">
        <x:v>Small proportional decrease.</x:v>
      </x:c>
      <x:c r="I4" s="18" t="n">
        <x:f>(A4-B4)/B4</x:f>
        <x:v>-0.05</x:v>
      </x:c>
      <x:c r="J4" s="18" t="n">
        <x:f>(C4-D4)/D4</x:f>
        <x:v>-0.025</x:v>
      </x:c>
      <x:c r="K4" s="20" t="n">
        <x:f>B4/D4</x:f>
        <x:v>0.01</x:v>
      </x:c>
      <x:c r="L4" s="20" t="n">
        <x:f>A4/C4</x:f>
        <x:v>0.009743589743589744</x:v>
      </x:c>
      <x:c r="M4" s="18" t="n">
        <x:f>(L4-K4)/K4</x:f>
        <x:v>-0.02564102564102562</x:v>
      </x:c>
    </x:row>
    <x:row r="5">
      <x:c r="A5" s="14" t="n">
        <x:v>1560</x:v>
      </x:c>
      <x:c r="B5" s="14" t="n">
        <x:v>1500</x:v>
      </x:c>
      <x:c r="C5" s="14" t="n">
        <x:v>152000</x:v>
      </x:c>
      <x:c r="D5" s="14" t="n">
        <x:v>150000</x:v>
      </x:c>
      <x:c r="E5" s="15" t="b">
        <x:v>0</x:v>
      </x:c>
      <x:c r="F5" s="15" t="b">
        <x:v>0</x:v>
      </x:c>
      <x:c r="G5" s="14" t="str">
        <x:v>normal</x:v>
      </x:c>
      <x:c r="H5" s="14" t="str">
        <x:v>Minor daily variation.</x:v>
      </x:c>
      <x:c r="I5" s="18" t="n">
        <x:f>(A5-B5)/B5</x:f>
        <x:v>0.04</x:v>
      </x:c>
      <x:c r="J5" s="18" t="n">
        <x:f>(C5-D5)/D5</x:f>
        <x:v>0.013333333333333334</x:v>
      </x:c>
      <x:c r="K5" s="20" t="n">
        <x:f>B5/D5</x:f>
        <x:v>0.01</x:v>
      </x:c>
      <x:c r="L5" s="20" t="n">
        <x:f>A5/C5</x:f>
        <x:v>0.010263157894736842</x:v>
      </x:c>
      <x:c r="M5" s="18" t="n">
        <x:f>(L5-K5)/K5</x:f>
        <x:v>0.026315789473684188</x:v>
      </x:c>
    </x:row>
    <x:row r="6">
      <x:c r="A6" s="14" t="n">
        <x:v>790</x:v>
      </x:c>
      <x:c r="B6" s="14" t="n">
        <x:v>800</x:v>
      </x:c>
      <x:c r="C6" s="14" t="n">
        <x:v>99500</x:v>
      </x:c>
      <x:c r="D6" s="14" t="n">
        <x:v>100000</x:v>
      </x:c>
      <x:c r="E6" s="15" t="b">
        <x:v>0</x:v>
      </x:c>
      <x:c r="F6" s="15" t="b">
        <x:v>0</x:v>
      </x:c>
      <x:c r="G6" s="14" t="str">
        <x:v>normal</x:v>
      </x:c>
      <x:c r="H6" s="14" t="str">
        <x:v>Very small decrease.</x:v>
      </x:c>
      <x:c r="I6" s="18" t="n">
        <x:f>(A6-B6)/B6</x:f>
        <x:v>-0.0125</x:v>
      </x:c>
      <x:c r="J6" s="18" t="n">
        <x:f>(C6-D6)/D6</x:f>
        <x:v>-0.005</x:v>
      </x:c>
      <x:c r="K6" s="20" t="n">
        <x:f>B6/D6</x:f>
        <x:v>0.008</x:v>
      </x:c>
      <x:c r="L6" s="20" t="n">
        <x:f>A6/C6</x:f>
        <x:v>0.00793969849246231</x:v>
      </x:c>
      <x:c r="M6" s="18" t="n">
        <x:f>(L6-K6)/K6</x:f>
        <x:v>-0.007537688442211176</x:v>
      </x:c>
    </x:row>
    <x:row r="7">
      <x:c r="A7" s="14" t="n">
        <x:v>2060</x:v>
      </x:c>
      <x:c r="B7" s="14" t="n">
        <x:v>2000</x:v>
      </x:c>
      <x:c r="C7" s="14" t="n">
        <x:v>205000</x:v>
      </x:c>
      <x:c r="D7" s="14" t="n">
        <x:v>200000</x:v>
      </x:c>
      <x:c r="E7" s="15" t="b">
        <x:v>1</x:v>
      </x:c>
      <x:c r="F7" s="15" t="b">
        <x:v>0</x:v>
      </x:c>
      <x:c r="G7" s="14" t="str">
        <x:v>normal</x:v>
      </x:c>
      <x:c r="H7" s="14" t="str">
        <x:v>Recent deployment, but cost and usage remain close to baseline.</x:v>
      </x:c>
      <x:c r="I7" s="18" t="n">
        <x:f>(A7-B7)/B7</x:f>
        <x:v>0.03</x:v>
      </x:c>
      <x:c r="J7" s="18" t="n">
        <x:f>(C7-D7)/D7</x:f>
        <x:v>0.025</x:v>
      </x:c>
      <x:c r="K7" s="20" t="n">
        <x:f>B7/D7</x:f>
        <x:v>0.01</x:v>
      </x:c>
      <x:c r="L7" s="20" t="n">
        <x:f>A7/C7</x:f>
        <x:v>0.010048780487804878</x:v>
      </x:c>
      <x:c r="M7" s="18" t="n">
        <x:f>(L7-K7)/K7</x:f>
        <x:v>0.004878048780487809</x:v>
      </x:c>
    </x:row>
    <x:row r="8">
      <x:c r="A8" s="14" t="n">
        <x:v>1250</x:v>
      </x:c>
      <x:c r="B8" s="14" t="n">
        <x:v>1300</x:v>
      </x:c>
      <x:c r="C8" s="14" t="n">
        <x:v>97000</x:v>
      </x:c>
      <x:c r="D8" s="14" t="n">
        <x:v>100000</x:v>
      </x:c>
      <x:c r="E8" s="15" t="b">
        <x:v>0</x:v>
      </x:c>
      <x:c r="F8" s="15" t="b">
        <x:v>0</x:v>
      </x:c>
      <x:c r="G8" s="14" t="str">
        <x:v>normal</x:v>
      </x:c>
      <x:c r="H8" s="14" t="str">
        <x:v>Small decline in both cost and usage.</x:v>
      </x:c>
      <x:c r="I8" s="18" t="n">
        <x:f>(A8-B8)/B8</x:f>
        <x:v>-0.038461538461538464</x:v>
      </x:c>
      <x:c r="J8" s="18" t="n">
        <x:f>(C8-D8)/D8</x:f>
        <x:v>-0.03</x:v>
      </x:c>
      <x:c r="K8" s="20" t="n">
        <x:f>B8/D8</x:f>
        <x:v>0.013</x:v>
      </x:c>
      <x:c r="L8" s="20" t="n">
        <x:f>A8/C8</x:f>
        <x:v>0.01288659793814433</x:v>
      </x:c>
      <x:c r="M8" s="18" t="n">
        <x:f>(L8-K8)/K8</x:f>
        <x:v>-0.008723235527359246</x:v>
      </x:c>
    </x:row>
    <x:row r="9">
      <x:c r="A9" s="14" t="n">
        <x:v>1015</x:v>
      </x:c>
      <x:c r="B9" s="14" t="n">
        <x:v>1000</x:v>
      </x:c>
      <x:c r="C9" s="14" t="n">
        <x:v>100500</x:v>
      </x:c>
      <x:c r="D9" s="14" t="n">
        <x:v>100000</x:v>
      </x:c>
      <x:c r="E9" s="15" t="b">
        <x:v>0</x:v>
      </x:c>
      <x:c r="F9" s="15" t="b">
        <x:v>0</x:v>
      </x:c>
      <x:c r="G9" s="14" t="str">
        <x:v>normal</x:v>
      </x:c>
      <x:c r="H9" s="14" t="str">
        <x:v>Near-baseline behaviour.</x:v>
      </x:c>
      <x:c r="I9" s="18" t="n">
        <x:f>(A9-B9)/B9</x:f>
        <x:v>0.015</x:v>
      </x:c>
      <x:c r="J9" s="18" t="n">
        <x:f>(C9-D9)/D9</x:f>
        <x:v>0.005</x:v>
      </x:c>
      <x:c r="K9" s="20" t="n">
        <x:f>B9/D9</x:f>
        <x:v>0.01</x:v>
      </x:c>
      <x:c r="L9" s="20" t="n">
        <x:f>A9/C9</x:f>
        <x:v>0.010099502487562188</x:v>
      </x:c>
      <x:c r="M9" s="18" t="n">
        <x:f>(L9-K9)/K9</x:f>
        <x:v>0.009950248756218812</x:v>
      </x:c>
    </x:row>
    <x:row r="10">
      <x:c r="A10" s="14" t="n">
        <x:v>1730</x:v>
      </x:c>
      <x:c r="B10" s="14" t="n">
        <x:v>1700</x:v>
      </x:c>
      <x:c r="C10" s="14" t="n">
        <x:v>171000</x:v>
      </x:c>
      <x:c r="D10" s="14" t="n">
        <x:v>170000</x:v>
      </x:c>
      <x:c r="E10" s="15" t="b">
        <x:v>0</x:v>
      </x:c>
      <x:c r="F10" s="15" t="b">
        <x:v>0</x:v>
      </x:c>
      <x:c r="G10" s="14" t="str">
        <x:v>normal</x:v>
      </x:c>
      <x:c r="H10" s="14" t="str">
        <x:v>Minor fluctuation at a higher scale.</x:v>
      </x:c>
      <x:c r="I10" s="18" t="n">
        <x:f>(A10-B10)/B10</x:f>
        <x:v>0.01764705882352941</x:v>
      </x:c>
      <x:c r="J10" s="18" t="n">
        <x:f>(C10-D10)/D10</x:f>
        <x:v>0.0058823529411764705</x:v>
      </x:c>
      <x:c r="K10" s="20" t="n">
        <x:f>B10/D10</x:f>
        <x:v>0.01</x:v>
      </x:c>
      <x:c r="L10" s="20" t="n">
        <x:f>A10/C10</x:f>
        <x:v>0.010116959064327486</x:v>
      </x:c>
      <x:c r="M10" s="18" t="n">
        <x:f>(L10-K10)/K10</x:f>
        <x:v>0.011695906432748586</x:v>
      </x:c>
    </x:row>
    <x:row r="11">
      <x:c r="A11" s="14" t="n">
        <x:v>955</x:v>
      </x:c>
      <x:c r="B11" s="14" t="n">
        <x:v>1000</x:v>
      </x:c>
      <x:c r="C11" s="14" t="n">
        <x:v>96000</x:v>
      </x:c>
      <x:c r="D11" s="14" t="n">
        <x:v>100000</x:v>
      </x:c>
      <x:c r="E11" s="15" t="b">
        <x:v>1</x:v>
      </x:c>
      <x:c r="F11" s="15" t="b">
        <x:v>0</x:v>
      </x:c>
      <x:c r="G11" s="14" t="str">
        <x:v>normal</x:v>
      </x:c>
      <x:c r="H11" s="14" t="str">
        <x:v>Recent deployment without abnormal spend.</x:v>
      </x:c>
      <x:c r="I11" s="18" t="n">
        <x:f>(A11-B11)/B11</x:f>
        <x:v>-0.045</x:v>
      </x:c>
      <x:c r="J11" s="18" t="n">
        <x:f>(C11-D11)/D11</x:f>
        <x:v>-0.04</x:v>
      </x:c>
      <x:c r="K11" s="20" t="n">
        <x:f>B11/D11</x:f>
        <x:v>0.01</x:v>
      </x:c>
      <x:c r="L11" s="20" t="n">
        <x:f>A11/C11</x:f>
        <x:v>0.009947916666666667</x:v>
      </x:c>
      <x:c r="M11" s="18" t="n">
        <x:f>(L11-K11)/K11</x:f>
        <x:v>-0.00520833333333328</x:v>
      </x:c>
    </x:row>
    <x:row r="12">
      <x:c r="A12" s="14" t="n">
        <x:v>1350</x:v>
      </x:c>
      <x:c r="B12" s="14" t="n">
        <x:v>1000</x:v>
      </x:c>
      <x:c r="C12" s="14" t="n">
        <x:v>100000</x:v>
      </x:c>
      <x:c r="D12" s="14" t="n">
        <x:v>100000</x:v>
      </x:c>
      <x:c r="E12" s="15" t="b">
        <x:v>0</x:v>
      </x:c>
      <x:c r="F12" s="15" t="b">
        <x:v>1</x:v>
      </x:c>
      <x:c r="G12" s="14" t="str">
        <x:v>expected_pattern</x:v>
      </x:c>
      <x:c r="H12" s="14" t="str">
        <x:v>Known recurring job raises cost while tracked usage stays flat.</x:v>
      </x:c>
      <x:c r="I12" s="18" t="n">
        <x:f>(A12-B12)/B12</x:f>
        <x:v>0.35</x:v>
      </x:c>
      <x:c r="J12" s="18" t="n">
        <x:f>(C12-D12)/D12</x:f>
        <x:v>0</x:v>
      </x:c>
      <x:c r="K12" s="20" t="n">
        <x:f>B12/D12</x:f>
        <x:v>0.01</x:v>
      </x:c>
      <x:c r="L12" s="20" t="n">
        <x:f>A12/C12</x:f>
        <x:v>0.0135</x:v>
      </x:c>
      <x:c r="M12" s="18" t="n">
        <x:f>(L12-K12)/K12</x:f>
        <x:v>0.35</x:v>
      </x:c>
    </x:row>
    <x:row r="13">
      <x:c r="A13" s="14" t="n">
        <x:v>1620</x:v>
      </x:c>
      <x:c r="B13" s="14" t="n">
        <x:v>1200</x:v>
      </x:c>
      <x:c r="C13" s="14" t="n">
        <x:v>132000</x:v>
      </x:c>
      <x:c r="D13" s="14" t="n">
        <x:v>120000</x:v>
      </x:c>
      <x:c r="E13" s="15" t="b">
        <x:v>0</x:v>
      </x:c>
      <x:c r="F13" s="15" t="b">
        <x:v>1</x:v>
      </x:c>
      <x:c r="G13" s="14" t="str">
        <x:v>expected_pattern</x:v>
      </x:c>
      <x:c r="H13" s="14" t="str">
        <x:v>Recurring period increases both cost and workload.</x:v>
      </x:c>
      <x:c r="I13" s="18" t="n">
        <x:f>(A13-B13)/B13</x:f>
        <x:v>0.35</x:v>
      </x:c>
      <x:c r="J13" s="18" t="n">
        <x:f>(C13-D13)/D13</x:f>
        <x:v>0.1</x:v>
      </x:c>
      <x:c r="K13" s="20" t="n">
        <x:f>B13/D13</x:f>
        <x:v>0.01</x:v>
      </x:c>
      <x:c r="L13" s="20" t="n">
        <x:f>A13/C13</x:f>
        <x:v>0.012272727272727272</x:v>
      </x:c>
      <x:c r="M13" s="18" t="n">
        <x:f>(L13-K13)/K13</x:f>
        <x:v>0.22727272727272718</x:v>
      </x:c>
    </x:row>
    <x:row r="14">
      <x:c r="A14" s="14" t="n">
        <x:v>1260</x:v>
      </x:c>
      <x:c r="B14" s="14" t="n">
        <x:v>900</x:v>
      </x:c>
      <x:c r="C14" s="14" t="n">
        <x:v>92000</x:v>
      </x:c>
      <x:c r="D14" s="14" t="n">
        <x:v>90000</x:v>
      </x:c>
      <x:c r="E14" s="15" t="b">
        <x:v>0</x:v>
      </x:c>
      <x:c r="F14" s="15" t="b">
        <x:v>1</x:v>
      </x:c>
      <x:c r="G14" s="14" t="str">
        <x:v>expected_pattern</x:v>
      </x:c>
      <x:c r="H14" s="14" t="str">
        <x:v>Known recurring cost spike.</x:v>
      </x:c>
      <x:c r="I14" s="18" t="n">
        <x:f>(A14-B14)/B14</x:f>
        <x:v>0.4</x:v>
      </x:c>
      <x:c r="J14" s="18" t="n">
        <x:f>(C14-D14)/D14</x:f>
        <x:v>0.022222222222222223</x:v>
      </x:c>
      <x:c r="K14" s="20" t="n">
        <x:f>B14/D14</x:f>
        <x:v>0.01</x:v>
      </x:c>
      <x:c r="L14" s="20" t="n">
        <x:f>A14/C14</x:f>
        <x:v>0.013695652173913043</x:v>
      </x:c>
      <x:c r="M14" s="18" t="n">
        <x:f>(L14-K14)/K14</x:f>
        <x:v>0.36956521739130427</x:v>
      </x:c>
    </x:row>
    <x:row r="15">
      <x:c r="A15" s="14" t="n">
        <x:v>1950</x:v>
      </x:c>
      <x:c r="B15" s="14" t="n">
        <x:v>1500</x:v>
      </x:c>
      <x:c r="C15" s="14" t="n">
        <x:v>160000</x:v>
      </x:c>
      <x:c r="D15" s="14" t="n">
        <x:v>150000</x:v>
      </x:c>
      <x:c r="E15" s="15" t="b">
        <x:v>1</x:v>
      </x:c>
      <x:c r="F15" s="15" t="b">
        <x:v>1</x:v>
      </x:c>
      <x:c r="G15" s="14" t="str">
        <x:v>expected_pattern</x:v>
      </x:c>
      <x:c r="H15" s="14" t="str">
        <x:v>Scheduled activity coincides with a deployment window.</x:v>
      </x:c>
      <x:c r="I15" s="18" t="n">
        <x:f>(A15-B15)/B15</x:f>
        <x:v>0.3</x:v>
      </x:c>
      <x:c r="J15" s="18" t="n">
        <x:f>(C15-D15)/D15</x:f>
        <x:v>0.06666666666666667</x:v>
      </x:c>
      <x:c r="K15" s="20" t="n">
        <x:f>B15/D15</x:f>
        <x:v>0.01</x:v>
      </x:c>
      <x:c r="L15" s="20" t="n">
        <x:f>A15/C15</x:f>
        <x:v>0.0121875</x:v>
      </x:c>
      <x:c r="M15" s="18" t="n">
        <x:f>(L15-K15)/K15</x:f>
        <x:v>0.21875000000000003</x:v>
      </x:c>
    </x:row>
    <x:row r="16">
      <x:c r="A16" s="14" t="n">
        <x:v>1080</x:v>
      </x:c>
      <x:c r="B16" s="14" t="n">
        <x:v>800</x:v>
      </x:c>
      <x:c r="C16" s="14" t="n">
        <x:v>85000</x:v>
      </x:c>
      <x:c r="D16" s="14" t="n">
        <x:v>80000</x:v>
      </x:c>
      <x:c r="E16" s="15" t="b">
        <x:v>0</x:v>
      </x:c>
      <x:c r="F16" s="15" t="b">
        <x:v>1</x:v>
      </x:c>
      <x:c r="G16" s="14" t="str">
        <x:v>expected_pattern</x:v>
      </x:c>
      <x:c r="H16" s="14" t="str">
        <x:v>Recurring processing window.</x:v>
      </x:c>
      <x:c r="I16" s="18" t="n">
        <x:f>(A16-B16)/B16</x:f>
        <x:v>0.35</x:v>
      </x:c>
      <x:c r="J16" s="18" t="n">
        <x:f>(C16-D16)/D16</x:f>
        <x:v>0.0625</x:v>
      </x:c>
      <x:c r="K16" s="20" t="n">
        <x:f>B16/D16</x:f>
        <x:v>0.01</x:v>
      </x:c>
      <x:c r="L16" s="20" t="n">
        <x:f>A16/C16</x:f>
        <x:v>0.012705882352941176</x:v>
      </x:c>
      <x:c r="M16" s="18" t="n">
        <x:f>(L16-K16)/K16</x:f>
        <x:v>0.2705882352941176</x:v>
      </x:c>
    </x:row>
    <x:row r="17">
      <x:c r="A17" s="14" t="n">
        <x:v>2700</x:v>
      </x:c>
      <x:c r="B17" s="14" t="n">
        <x:v>2000</x:v>
      </x:c>
      <x:c r="C17" s="14" t="n">
        <x:v>210000</x:v>
      </x:c>
      <x:c r="D17" s="14" t="n">
        <x:v>200000</x:v>
      </x:c>
      <x:c r="E17" s="15" t="b">
        <x:v>0</x:v>
      </x:c>
      <x:c r="F17" s="15" t="b">
        <x:v>1</x:v>
      </x:c>
      <x:c r="G17" s="14" t="str">
        <x:v>expected_pattern</x:v>
      </x:c>
      <x:c r="H17" s="14" t="str">
        <x:v>Known month-end style increase.</x:v>
      </x:c>
      <x:c r="I17" s="18" t="n">
        <x:f>(A17-B17)/B17</x:f>
        <x:v>0.35</x:v>
      </x:c>
      <x:c r="J17" s="18" t="n">
        <x:f>(C17-D17)/D17</x:f>
        <x:v>0.05</x:v>
      </x:c>
      <x:c r="K17" s="20" t="n">
        <x:f>B17/D17</x:f>
        <x:v>0.01</x:v>
      </x:c>
      <x:c r="L17" s="20" t="n">
        <x:f>A17/C17</x:f>
        <x:v>0.012857142857142857</x:v>
      </x:c>
      <x:c r="M17" s="18" t="n">
        <x:f>(L17-K17)/K17</x:f>
        <x:v>0.28571428571428564</x:v>
      </x:c>
    </x:row>
    <x:row r="18">
      <x:c r="A18" s="14" t="n">
        <x:v>1690</x:v>
      </x:c>
      <x:c r="B18" s="14" t="n">
        <x:v>1300</x:v>
      </x:c>
      <x:c r="C18" s="14" t="n">
        <x:v>132000</x:v>
      </x:c>
      <x:c r="D18" s="14" t="n">
        <x:v>130000</x:v>
      </x:c>
      <x:c r="E18" s="15" t="b">
        <x:v>0</x:v>
      </x:c>
      <x:c r="F18" s="15" t="b">
        <x:v>1</x:v>
      </x:c>
      <x:c r="G18" s="14" t="str">
        <x:v>expected_pattern</x:v>
      </x:c>
      <x:c r="H18" s="14" t="str">
        <x:v>Known recurring increase with little usage movement.</x:v>
      </x:c>
      <x:c r="I18" s="18" t="n">
        <x:f>(A18-B18)/B18</x:f>
        <x:v>0.3</x:v>
      </x:c>
      <x:c r="J18" s="18" t="n">
        <x:f>(C18-D18)/D18</x:f>
        <x:v>0.015384615384615385</x:v>
      </x:c>
      <x:c r="K18" s="20" t="n">
        <x:f>B18/D18</x:f>
        <x:v>0.01</x:v>
      </x:c>
      <x:c r="L18" s="20" t="n">
        <x:f>A18/C18</x:f>
        <x:v>0.012803030303030302</x:v>
      </x:c>
      <x:c r="M18" s="18" t="n">
        <x:f>(L18-K18)/K18</x:f>
        <x:v>0.2803030303030302</x:v>
      </x:c>
    </x:row>
    <x:row r="19">
      <x:c r="A19" s="14" t="n">
        <x:v>1320</x:v>
      </x:c>
      <x:c r="B19" s="14" t="n">
        <x:v>1000</x:v>
      </x:c>
      <x:c r="C19" s="14" t="n">
        <x:v>110000</x:v>
      </x:c>
      <x:c r="D19" s="14" t="n">
        <x:v>100000</x:v>
      </x:c>
      <x:c r="E19" s="15" t="b">
        <x:v>1</x:v>
      </x:c>
      <x:c r="F19" s="15" t="b">
        <x:v>1</x:v>
      </x:c>
      <x:c r="G19" s="14" t="str">
        <x:v>expected_pattern</x:v>
      </x:c>
      <x:c r="H19" s="14" t="str">
        <x:v>Known scheduled workload after routine deployment.</x:v>
      </x:c>
      <x:c r="I19" s="18" t="n">
        <x:f>(A19-B19)/B19</x:f>
        <x:v>0.32</x:v>
      </x:c>
      <x:c r="J19" s="18" t="n">
        <x:f>(C19-D19)/D19</x:f>
        <x:v>0.1</x:v>
      </x:c>
      <x:c r="K19" s="20" t="n">
        <x:f>B19/D19</x:f>
        <x:v>0.01</x:v>
      </x:c>
      <x:c r="L19" s="20" t="n">
        <x:f>A19/C19</x:f>
        <x:v>0.012</x:v>
      </x:c>
      <x:c r="M19" s="18" t="n">
        <x:f>(L19-K19)/K19</x:f>
        <x:v>0.2</x:v>
      </x:c>
    </x:row>
    <x:row r="20">
      <x:c r="A20" s="14" t="n">
        <x:v>2200</x:v>
      </x:c>
      <x:c r="B20" s="14" t="n">
        <x:v>1700</x:v>
      </x:c>
      <x:c r="C20" s="14" t="n">
        <x:v>176000</x:v>
      </x:c>
      <x:c r="D20" s="14" t="n">
        <x:v>170000</x:v>
      </x:c>
      <x:c r="E20" s="15" t="b">
        <x:v>0</x:v>
      </x:c>
      <x:c r="F20" s="15" t="b">
        <x:v>1</x:v>
      </x:c>
      <x:c r="G20" s="14" t="str">
        <x:v>expected_pattern</x:v>
      </x:c>
      <x:c r="H20" s="14" t="str">
        <x:v>Recurring higher-cost processing period.</x:v>
      </x:c>
      <x:c r="I20" s="18" t="n">
        <x:f>(A20-B20)/B20</x:f>
        <x:v>0.29411764705882354</x:v>
      </x:c>
      <x:c r="J20" s="18" t="n">
        <x:f>(C20-D20)/D20</x:f>
        <x:v>0.03529411764705882</x:v>
      </x:c>
      <x:c r="K20" s="20" t="n">
        <x:f>B20/D20</x:f>
        <x:v>0.01</x:v>
      </x:c>
      <x:c r="L20" s="20" t="n">
        <x:f>A20/C20</x:f>
        <x:v>0.0125</x:v>
      </x:c>
      <x:c r="M20" s="18" t="n">
        <x:f>(L20-K20)/K20</x:f>
        <x:v>0.25000000000000006</x:v>
      </x:c>
    </x:row>
    <x:row r="21">
      <x:c r="A21" s="14" t="n">
        <x:v>1150</x:v>
      </x:c>
      <x:c r="B21" s="14" t="n">
        <x:v>850</x:v>
      </x:c>
      <x:c r="C21" s="14" t="n">
        <x:v>90000</x:v>
      </x:c>
      <x:c r="D21" s="14" t="n">
        <x:v>85000</x:v>
      </x:c>
      <x:c r="E21" s="15" t="b">
        <x:v>0</x:v>
      </x:c>
      <x:c r="F21" s="15" t="b">
        <x:v>1</x:v>
      </x:c>
      <x:c r="G21" s="14" t="str">
        <x:v>expected_pattern</x:v>
      </x:c>
      <x:c r="H21" s="14" t="str">
        <x:v>Known periodic batch behaviour.</x:v>
      </x:c>
      <x:c r="I21" s="18" t="n">
        <x:f>(A21-B21)/B21</x:f>
        <x:v>0.35294117647058826</x:v>
      </x:c>
      <x:c r="J21" s="18" t="n">
        <x:f>(C21-D21)/D21</x:f>
        <x:v>0.058823529411764705</x:v>
      </x:c>
      <x:c r="K21" s="20" t="n">
        <x:f>B21/D21</x:f>
        <x:v>0.01</x:v>
      </x:c>
      <x:c r="L21" s="20" t="n">
        <x:f>A21/C21</x:f>
        <x:v>0.012777777777777779</x:v>
      </x:c>
      <x:c r="M21" s="18" t="n">
        <x:f>(L21-K21)/K21</x:f>
        <x:v>0.27777777777777785</x:v>
      </x:c>
    </x:row>
    <x:row r="22">
      <x:c r="A22" s="14" t="n">
        <x:v>1500</x:v>
      </x:c>
      <x:c r="B22" s="14" t="n">
        <x:v>1000</x:v>
      </x:c>
      <x:c r="C22" s="14" t="n">
        <x:v>148000</x:v>
      </x:c>
      <x:c r="D22" s="14" t="n">
        <x:v>100000</x:v>
      </x:c>
      <x:c r="E22" s="15" t="b">
        <x:v>0</x:v>
      </x:c>
      <x:c r="F22" s="15" t="b">
        <x:v>0</x:v>
      </x:c>
      <x:c r="G22" s="14" t="str">
        <x:v>legitimate_growth</x:v>
      </x:c>
      <x:c r="H22" s="14" t="str">
        <x:v>Cost and usage grow at roughly the same rate.</x:v>
      </x:c>
      <x:c r="I22" s="18" t="n">
        <x:f>(A22-B22)/B22</x:f>
        <x:v>0.5</x:v>
      </x:c>
      <x:c r="J22" s="18" t="n">
        <x:f>(C22-D22)/D22</x:f>
        <x:v>0.48</x:v>
      </x:c>
      <x:c r="K22" s="20" t="n">
        <x:f>B22/D22</x:f>
        <x:v>0.01</x:v>
      </x:c>
      <x:c r="L22" s="20" t="n">
        <x:f>A22/C22</x:f>
        <x:v>0.010135135135135136</x:v>
      </x:c>
      <x:c r="M22" s="18" t="n">
        <x:f>(L22-K22)/K22</x:f>
        <x:v>0.013513513513513549</x:v>
      </x:c>
    </x:row>
    <x:row r="23">
      <x:c r="A23" s="14" t="n">
        <x:v>1200</x:v>
      </x:c>
      <x:c r="B23" s="14" t="n">
        <x:v>900</x:v>
      </x:c>
      <x:c r="C23" s="14" t="n">
        <x:v>118000</x:v>
      </x:c>
      <x:c r="D23" s="14" t="n">
        <x:v>90000</x:v>
      </x:c>
      <x:c r="E23" s="15" t="b">
        <x:v>0</x:v>
      </x:c>
      <x:c r="F23" s="15" t="b">
        <x:v>0</x:v>
      </x:c>
      <x:c r="G23" s="14" t="str">
        <x:v>legitimate_growth</x:v>
      </x:c>
      <x:c r="H23" s="14" t="str">
        <x:v>Higher useful workload explains higher spend.</x:v>
      </x:c>
      <x:c r="I23" s="18" t="n">
        <x:f>(A23-B23)/B23</x:f>
        <x:v>0.3333333333333333</x:v>
      </x:c>
      <x:c r="J23" s="18" t="n">
        <x:f>(C23-D23)/D23</x:f>
        <x:v>0.3111111111111111</x:v>
      </x:c>
      <x:c r="K23" s="20" t="n">
        <x:f>B23/D23</x:f>
        <x:v>0.01</x:v>
      </x:c>
      <x:c r="L23" s="20" t="n">
        <x:f>A23/C23</x:f>
        <x:v>0.010169491525423728</x:v>
      </x:c>
      <x:c r="M23" s="18" t="n">
        <x:f>(L23-K23)/K23</x:f>
        <x:v>0.016949152542372788</x:v>
      </x:c>
    </x:row>
    <x:row r="24">
      <x:c r="A24" s="14" t="n">
        <x:v>1950</x:v>
      </x:c>
      <x:c r="B24" s="14" t="n">
        <x:v>1500</x:v>
      </x:c>
      <x:c r="C24" s="14" t="n">
        <x:v>190000</x:v>
      </x:c>
      <x:c r="D24" s="14" t="n">
        <x:v>150000</x:v>
      </x:c>
      <x:c r="E24" s="15" t="b">
        <x:v>1</x:v>
      </x:c>
      <x:c r="F24" s="15" t="b">
        <x:v>0</x:v>
      </x:c>
      <x:c r="G24" s="14" t="str">
        <x:v>legitimate_growth</x:v>
      </x:c>
      <x:c r="H24" s="14" t="str">
        <x:v>Growth continues after deployment; unit cost stays close.</x:v>
      </x:c>
      <x:c r="I24" s="18" t="n">
        <x:f>(A24-B24)/B24</x:f>
        <x:v>0.3</x:v>
      </x:c>
      <x:c r="J24" s="18" t="n">
        <x:f>(C24-D24)/D24</x:f>
        <x:v>0.26666666666666666</x:v>
      </x:c>
      <x:c r="K24" s="20" t="n">
        <x:f>B24/D24</x:f>
        <x:v>0.01</x:v>
      </x:c>
      <x:c r="L24" s="20" t="n">
        <x:f>A24/C24</x:f>
        <x:v>0.010263157894736842</x:v>
      </x:c>
      <x:c r="M24" s="18" t="n">
        <x:f>(L24-K24)/K24</x:f>
        <x:v>0.026315789473684188</x:v>
      </x:c>
    </x:row>
    <x:row r="25">
      <x:c r="A25" s="14" t="n">
        <x:v>1040</x:v>
      </x:c>
      <x:c r="B25" s="14" t="n">
        <x:v>800</x:v>
      </x:c>
      <x:c r="C25" s="14" t="n">
        <x:v>130000</x:v>
      </x:c>
      <x:c r="D25" s="14" t="n">
        <x:v>100000</x:v>
      </x:c>
      <x:c r="E25" s="15" t="b">
        <x:v>0</x:v>
      </x:c>
      <x:c r="F25" s="15" t="b">
        <x:v>0</x:v>
      </x:c>
      <x:c r="G25" s="14" t="str">
        <x:v>legitimate_growth</x:v>
      </x:c>
      <x:c r="H25" s="14" t="str">
        <x:v>Usage grows faster than cost, improving unit efficiency.</x:v>
      </x:c>
      <x:c r="I25" s="18" t="n">
        <x:f>(A25-B25)/B25</x:f>
        <x:v>0.3</x:v>
      </x:c>
      <x:c r="J25" s="18" t="n">
        <x:f>(C25-D25)/D25</x:f>
        <x:v>0.3</x:v>
      </x:c>
      <x:c r="K25" s="20" t="n">
        <x:f>B25/D25</x:f>
        <x:v>0.008</x:v>
      </x:c>
      <x:c r="L25" s="20" t="n">
        <x:f>A25/C25</x:f>
        <x:v>0.008</x:v>
      </x:c>
      <x:c r="M25" s="18" t="n">
        <x:f>(L25-K25)/K25</x:f>
        <x:v>0</x:v>
      </x:c>
    </x:row>
    <x:row r="26">
      <x:c r="A26" s="14" t="n">
        <x:v>2600</x:v>
      </x:c>
      <x:c r="B26" s="14" t="n">
        <x:v>2000</x:v>
      </x:c>
      <x:c r="C26" s="14" t="n">
        <x:v>257000</x:v>
      </x:c>
      <x:c r="D26" s="14" t="n">
        <x:v>200000</x:v>
      </x:c>
      <x:c r="E26" s="15" t="b">
        <x:v>0</x:v>
      </x:c>
      <x:c r="F26" s="15" t="b">
        <x:v>0</x:v>
      </x:c>
      <x:c r="G26" s="14" t="str">
        <x:v>legitimate_growth</x:v>
      </x:c>
      <x:c r="H26" s="14" t="str">
        <x:v>Scaled workload with similar unit cost.</x:v>
      </x:c>
      <x:c r="I26" s="18" t="n">
        <x:f>(A26-B26)/B26</x:f>
        <x:v>0.3</x:v>
      </x:c>
      <x:c r="J26" s="18" t="n">
        <x:f>(C26-D26)/D26</x:f>
        <x:v>0.285</x:v>
      </x:c>
      <x:c r="K26" s="20" t="n">
        <x:f>B26/D26</x:f>
        <x:v>0.01</x:v>
      </x:c>
      <x:c r="L26" s="20" t="n">
        <x:f>A26/C26</x:f>
        <x:v>0.010116731517509728</x:v>
      </x:c>
      <x:c r="M26" s="18" t="n">
        <x:f>(L26-K26)/K26</x:f>
        <x:v>0.01167315175097279</x:v>
      </x:c>
    </x:row>
    <x:row r="27">
      <x:c r="A27" s="14" t="n">
        <x:v>1690</x:v>
      </x:c>
      <x:c r="B27" s="14" t="n">
        <x:v>1300</x:v>
      </x:c>
      <x:c r="C27" s="14" t="n">
        <x:v>168000</x:v>
      </x:c>
      <x:c r="D27" s="14" t="n">
        <x:v>130000</x:v>
      </x:c>
      <x:c r="E27" s="15" t="b">
        <x:v>1</x:v>
      </x:c>
      <x:c r="F27" s="15" t="b">
        <x:v>0</x:v>
      </x:c>
      <x:c r="G27" s="14" t="str">
        <x:v>legitimate_growth</x:v>
      </x:c>
      <x:c r="H27" s="14" t="str">
        <x:v>Deployment supports increased workload without major efficiency loss.</x:v>
      </x:c>
      <x:c r="I27" s="18" t="n">
        <x:f>(A27-B27)/B27</x:f>
        <x:v>0.3</x:v>
      </x:c>
      <x:c r="J27" s="18" t="n">
        <x:f>(C27-D27)/D27</x:f>
        <x:v>0.2923076923076923</x:v>
      </x:c>
      <x:c r="K27" s="20" t="n">
        <x:f>B27/D27</x:f>
        <x:v>0.01</x:v>
      </x:c>
      <x:c r="L27" s="20" t="n">
        <x:f>A27/C27</x:f>
        <x:v>0.01005952380952381</x:v>
      </x:c>
      <x:c r="M27" s="18" t="n">
        <x:f>(L27-K27)/K27</x:f>
        <x:v>0.005952380952380966</x:v>
      </x:c>
    </x:row>
    <x:row r="28">
      <x:c r="A28" s="14" t="n">
        <x:v>1430</x:v>
      </x:c>
      <x:c r="B28" s="14" t="n">
        <x:v>1100</x:v>
      </x:c>
      <x:c r="C28" s="14" t="n">
        <x:v>132000</x:v>
      </x:c>
      <x:c r="D28" s="14" t="n">
        <x:v>100000</x:v>
      </x:c>
      <x:c r="E28" s="15" t="b">
        <x:v>0</x:v>
      </x:c>
      <x:c r="F28" s="15" t="b">
        <x:v>0</x:v>
      </x:c>
      <x:c r="G28" s="14" t="str">
        <x:v>legitimate_growth</x:v>
      </x:c>
      <x:c r="H28" s="14" t="str">
        <x:v>Cost and usage both rise materially.</x:v>
      </x:c>
      <x:c r="I28" s="18" t="n">
        <x:f>(A28-B28)/B28</x:f>
        <x:v>0.3</x:v>
      </x:c>
      <x:c r="J28" s="18" t="n">
        <x:f>(C28-D28)/D28</x:f>
        <x:v>0.32</x:v>
      </x:c>
      <x:c r="K28" s="20" t="n">
        <x:f>B28/D28</x:f>
        <x:v>0.011</x:v>
      </x:c>
      <x:c r="L28" s="20" t="n">
        <x:f>A28/C28</x:f>
        <x:v>0.010833333333333334</x:v>
      </x:c>
      <x:c r="M28" s="18" t="n">
        <x:f>(L28-K28)/K28</x:f>
        <x:v>-0.01515151515151506</x:v>
      </x:c>
    </x:row>
    <x:row r="29">
      <x:c r="A29" s="14" t="n">
        <x:v>945</x:v>
      </x:c>
      <x:c r="B29" s="14" t="n">
        <x:v>700</x:v>
      </x:c>
      <x:c r="C29" s="14" t="n">
        <x:v>133000</x:v>
      </x:c>
      <x:c r="D29" s="14" t="n">
        <x:v>100000</x:v>
      </x:c>
      <x:c r="E29" s="15" t="b">
        <x:v>0</x:v>
      </x:c>
      <x:c r="F29" s="15" t="b">
        <x:v>0</x:v>
      </x:c>
      <x:c r="G29" s="14" t="str">
        <x:v>legitimate_growth</x:v>
      </x:c>
      <x:c r="H29" s="14" t="str">
        <x:v>Strong usage growth with proportional cost.</x:v>
      </x:c>
      <x:c r="I29" s="18" t="n">
        <x:f>(A29-B29)/B29</x:f>
        <x:v>0.35</x:v>
      </x:c>
      <x:c r="J29" s="18" t="n">
        <x:f>(C29-D29)/D29</x:f>
        <x:v>0.33</x:v>
      </x:c>
      <x:c r="K29" s="20" t="n">
        <x:f>B29/D29</x:f>
        <x:v>0.007</x:v>
      </x:c>
      <x:c r="L29" s="20" t="n">
        <x:f>A29/C29</x:f>
        <x:v>0.007105263157894737</x:v>
      </x:c>
      <x:c r="M29" s="18" t="n">
        <x:f>(L29-K29)/K29</x:f>
        <x:v>0.015037593984962393</x:v>
      </x:c>
    </x:row>
    <x:row r="30">
      <x:c r="A30" s="14" t="n">
        <x:v>2300</x:v>
      </x:c>
      <x:c r="B30" s="14" t="n">
        <x:v>1800</x:v>
      </x:c>
      <x:c r="C30" s="14" t="n">
        <x:v>226000</x:v>
      </x:c>
      <x:c r="D30" s="14" t="n">
        <x:v>180000</x:v>
      </x:c>
      <x:c r="E30" s="15" t="b">
        <x:v>1</x:v>
      </x:c>
      <x:c r="F30" s="15" t="b">
        <x:v>0</x:v>
      </x:c>
      <x:c r="G30" s="14" t="str">
        <x:v>legitimate_growth</x:v>
      </x:c>
      <x:c r="H30" s="14" t="str">
        <x:v>Higher demand after deployment; unit economics remain stable.</x:v>
      </x:c>
      <x:c r="I30" s="18" t="n">
        <x:f>(A30-B30)/B30</x:f>
        <x:v>0.2777777777777778</x:v>
      </x:c>
      <x:c r="J30" s="18" t="n">
        <x:f>(C30-D30)/D30</x:f>
        <x:v>0.25555555555555554</x:v>
      </x:c>
      <x:c r="K30" s="20" t="n">
        <x:f>B30/D30</x:f>
        <x:v>0.01</x:v>
      </x:c>
      <x:c r="L30" s="20" t="n">
        <x:f>A30/C30</x:f>
        <x:v>0.010176991150442478</x:v>
      </x:c>
      <x:c r="M30" s="18" t="n">
        <x:f>(L30-K30)/K30</x:f>
        <x:v>0.017699115044247753</x:v>
      </x:c>
    </x:row>
    <x:row r="31">
      <x:c r="A31" s="14" t="n">
        <x:v>1280</x:v>
      </x:c>
      <x:c r="B31" s="14" t="n">
        <x:v>1000</x:v>
      </x:c>
      <x:c r="C31" s="14" t="n">
        <x:v>130000</x:v>
      </x:c>
      <x:c r="D31" s="14" t="n">
        <x:v>100000</x:v>
      </x:c>
      <x:c r="E31" s="15" t="b">
        <x:v>0</x:v>
      </x:c>
      <x:c r="F31" s="15" t="b">
        <x:v>0</x:v>
      </x:c>
      <x:c r="G31" s="14" t="str">
        <x:v>legitimate_growth</x:v>
      </x:c>
      <x:c r="H31" s="14" t="str">
        <x:v>Usage grows slightly faster than cost.</x:v>
      </x:c>
      <x:c r="I31" s="18" t="n">
        <x:f>(A31-B31)/B31</x:f>
        <x:v>0.28</x:v>
      </x:c>
      <x:c r="J31" s="18" t="n">
        <x:f>(C31-D31)/D31</x:f>
        <x:v>0.3</x:v>
      </x:c>
      <x:c r="K31" s="20" t="n">
        <x:f>B31/D31</x:f>
        <x:v>0.01</x:v>
      </x:c>
      <x:c r="L31" s="20" t="n">
        <x:f>A31/C31</x:f>
        <x:v>0.009846153846153846</x:v>
      </x:c>
      <x:c r="M31" s="18" t="n">
        <x:f>(L31-K31)/K31</x:f>
        <x:v>-0.015384615384615372</x:v>
      </x:c>
    </x:row>
    <x:row r="32">
      <x:c r="A32" s="14" t="n">
        <x:v>1450</x:v>
      </x:c>
      <x:c r="B32" s="14" t="n">
        <x:v>1000</x:v>
      </x:c>
      <x:c r="C32" s="14" t="n">
        <x:v>105000</x:v>
      </x:c>
      <x:c r="D32" s="14" t="n">
        <x:v>100000</x:v>
      </x:c>
      <x:c r="E32" s="15" t="b">
        <x:v>1</x:v>
      </x:c>
      <x:c r="F32" s="15" t="b">
        <x:v>0</x:v>
      </x:c>
      <x:c r="G32" s="14" t="str">
        <x:v>cost_incident</x:v>
      </x:c>
      <x:c r="H32" s="14" t="str">
        <x:v>Cost rises much faster than usage after a deployment.</x:v>
      </x:c>
      <x:c r="I32" s="18" t="n">
        <x:f>(A32-B32)/B32</x:f>
        <x:v>0.45</x:v>
      </x:c>
      <x:c r="J32" s="18" t="n">
        <x:f>(C32-D32)/D32</x:f>
        <x:v>0.05</x:v>
      </x:c>
      <x:c r="K32" s="20" t="n">
        <x:f>B32/D32</x:f>
        <x:v>0.01</x:v>
      </x:c>
      <x:c r="L32" s="20" t="n">
        <x:f>A32/C32</x:f>
        <x:v>0.01380952380952381</x:v>
      </x:c>
      <x:c r="M32" s="18" t="n">
        <x:f>(L32-K32)/K32</x:f>
        <x:v>0.38095238095238093</x:v>
      </x:c>
    </x:row>
    <x:row r="33">
      <x:c r="A33" s="14" t="n">
        <x:v>1600</x:v>
      </x:c>
      <x:c r="B33" s="14" t="n">
        <x:v>1000</x:v>
      </x:c>
      <x:c r="C33" s="14" t="n">
        <x:v>103000</x:v>
      </x:c>
      <x:c r="D33" s="14" t="n">
        <x:v>100000</x:v>
      </x:c>
      <x:c r="E33" s="15" t="b">
        <x:v>1</x:v>
      </x:c>
      <x:c r="F33" s="15" t="b">
        <x:v>0</x:v>
      </x:c>
      <x:c r="G33" s="14" t="str">
        <x:v>cost_incident</x:v>
      </x:c>
      <x:c r="H33" s="14" t="str">
        <x:v>Large spend increase with almost no workload growth.</x:v>
      </x:c>
      <x:c r="I33" s="18" t="n">
        <x:f>(A33-B33)/B33</x:f>
        <x:v>0.6</x:v>
      </x:c>
      <x:c r="J33" s="18" t="n">
        <x:f>(C33-D33)/D33</x:f>
        <x:v>0.03</x:v>
      </x:c>
      <x:c r="K33" s="20" t="n">
        <x:f>B33/D33</x:f>
        <x:v>0.01</x:v>
      </x:c>
      <x:c r="L33" s="20" t="n">
        <x:f>A33/C33</x:f>
        <x:v>0.015533980582524271</x:v>
      </x:c>
      <x:c r="M33" s="18" t="n">
        <x:f>(L33-K33)/K33</x:f>
        <x:v>0.553398058252427</x:v>
      </x:c>
    </x:row>
    <x:row r="34">
      <x:c r="A34" s="14" t="n">
        <x:v>1260</x:v>
      </x:c>
      <x:c r="B34" s="14" t="n">
        <x:v>900</x:v>
      </x:c>
      <x:c r="C34" s="14" t="n">
        <x:v>90000</x:v>
      </x:c>
      <x:c r="D34" s="14" t="n">
        <x:v>90000</x:v>
      </x:c>
      <x:c r="E34" s="15" t="b">
        <x:v>0</x:v>
      </x:c>
      <x:c r="F34" s="15" t="b">
        <x:v>0</x:v>
      </x:c>
      <x:c r="G34" s="14" t="str">
        <x:v>cost_incident</x:v>
      </x:c>
      <x:c r="H34" s="14" t="str">
        <x:v>Cost rises 40% while usage is unchanged.</x:v>
      </x:c>
      <x:c r="I34" s="18" t="n">
        <x:f>(A34-B34)/B34</x:f>
        <x:v>0.4</x:v>
      </x:c>
      <x:c r="J34" s="18" t="n">
        <x:f>(C34-D34)/D34</x:f>
        <x:v>0</x:v>
      </x:c>
      <x:c r="K34" s="20" t="n">
        <x:f>B34/D34</x:f>
        <x:v>0.01</x:v>
      </x:c>
      <x:c r="L34" s="20" t="n">
        <x:f>A34/C34</x:f>
        <x:v>0.014</x:v>
      </x:c>
      <x:c r="M34" s="18" t="n">
        <x:f>(L34-K34)/K34</x:f>
        <x:v>0.4</x:v>
      </x:c>
    </x:row>
    <x:row r="35">
      <x:c r="A35" s="14" t="n">
        <x:v>2250</x:v>
      </x:c>
      <x:c r="B35" s="14" t="n">
        <x:v>1500</x:v>
      </x:c>
      <x:c r="C35" s="14" t="n">
        <x:v>151000</x:v>
      </x:c>
      <x:c r="D35" s="14" t="n">
        <x:v>150000</x:v>
      </x:c>
      <x:c r="E35" s="15" t="b">
        <x:v>0</x:v>
      </x:c>
      <x:c r="F35" s="15" t="b">
        <x:v>0</x:v>
      </x:c>
      <x:c r="G35" s="14" t="str">
        <x:v>cost_incident</x:v>
      </x:c>
      <x:c r="H35" s="14" t="str">
        <x:v>Large cost spike with flat usage.</x:v>
      </x:c>
      <x:c r="I35" s="18" t="n">
        <x:f>(A35-B35)/B35</x:f>
        <x:v>0.5</x:v>
      </x:c>
      <x:c r="J35" s="18" t="n">
        <x:f>(C35-D35)/D35</x:f>
        <x:v>0.006666666666666667</x:v>
      </x:c>
      <x:c r="K35" s="20" t="n">
        <x:f>B35/D35</x:f>
        <x:v>0.01</x:v>
      </x:c>
      <x:c r="L35" s="20" t="n">
        <x:f>A35/C35</x:f>
        <x:v>0.014900662251655629</x:v>
      </x:c>
      <x:c r="M35" s="18" t="n">
        <x:f>(L35-K35)/K35</x:f>
        <x:v>0.49006622516556286</x:v>
      </x:c>
    </x:row>
    <x:row r="36">
      <x:c r="A36" s="14" t="n">
        <x:v>1150</x:v>
      </x:c>
      <x:c r="B36" s="14" t="n">
        <x:v>800</x:v>
      </x:c>
      <x:c r="C36" s="14" t="n">
        <x:v>82000</x:v>
      </x:c>
      <x:c r="D36" s="14" t="n">
        <x:v>80000</x:v>
      </x:c>
      <x:c r="E36" s="15" t="b">
        <x:v>1</x:v>
      </x:c>
      <x:c r="F36" s="15" t="b">
        <x:v>0</x:v>
      </x:c>
      <x:c r="G36" s="14" t="str">
        <x:v>cost_incident</x:v>
      </x:c>
      <x:c r="H36" s="14" t="str">
        <x:v>Deployment followed by disproportionate spend increase.</x:v>
      </x:c>
      <x:c r="I36" s="18" t="n">
        <x:f>(A36-B36)/B36</x:f>
        <x:v>0.4375</x:v>
      </x:c>
      <x:c r="J36" s="18" t="n">
        <x:f>(C36-D36)/D36</x:f>
        <x:v>0.025</x:v>
      </x:c>
      <x:c r="K36" s="20" t="n">
        <x:f>B36/D36</x:f>
        <x:v>0.01</x:v>
      </x:c>
      <x:c r="L36" s="20" t="n">
        <x:f>A36/C36</x:f>
        <x:v>0.01402439024390244</x:v>
      </x:c>
      <x:c r="M36" s="18" t="n">
        <x:f>(L36-K36)/K36</x:f>
        <x:v>0.4024390243902439</x:v>
      </x:c>
    </x:row>
    <x:row r="37">
      <x:c r="A37" s="14" t="n">
        <x:v>2900</x:v>
      </x:c>
      <x:c r="B37" s="14" t="n">
        <x:v>2000</x:v>
      </x:c>
      <x:c r="C37" s="14" t="n">
        <x:v>196000</x:v>
      </x:c>
      <x:c r="D37" s="14" t="n">
        <x:v>200000</x:v>
      </x:c>
      <x:c r="E37" s="15" t="b">
        <x:v>0</x:v>
      </x:c>
      <x:c r="F37" s="15" t="b">
        <x:v>0</x:v>
      </x:c>
      <x:c r="G37" s="14" t="str">
        <x:v>cost_incident</x:v>
      </x:c>
      <x:c r="H37" s="14" t="str">
        <x:v>Cost rises while usage slightly falls.</x:v>
      </x:c>
      <x:c r="I37" s="18" t="n">
        <x:f>(A37-B37)/B37</x:f>
        <x:v>0.45</x:v>
      </x:c>
      <x:c r="J37" s="18" t="n">
        <x:f>(C37-D37)/D37</x:f>
        <x:v>-0.02</x:v>
      </x:c>
      <x:c r="K37" s="20" t="n">
        <x:f>B37/D37</x:f>
        <x:v>0.01</x:v>
      </x:c>
      <x:c r="L37" s="20" t="n">
        <x:f>A37/C37</x:f>
        <x:v>0.01479591836734694</x:v>
      </x:c>
      <x:c r="M37" s="18" t="n">
        <x:f>(L37-K37)/K37</x:f>
        <x:v>0.4795918367346939</x:v>
      </x:c>
    </x:row>
    <x:row r="38">
      <x:c r="A38" s="14" t="n">
        <x:v>1760</x:v>
      </x:c>
      <x:c r="B38" s="14" t="n">
        <x:v>1300</x:v>
      </x:c>
      <x:c r="C38" s="14" t="n">
        <x:v>135000</x:v>
      </x:c>
      <x:c r="D38" s="14" t="n">
        <x:v>130000</x:v>
      </x:c>
      <x:c r="E38" s="15" t="b">
        <x:v>1</x:v>
      </x:c>
      <x:c r="F38" s="15" t="b">
        <x:v>0</x:v>
      </x:c>
      <x:c r="G38" s="14" t="str">
        <x:v>cost_incident</x:v>
      </x:c>
      <x:c r="H38" s="14" t="str">
        <x:v>Cost increase far exceeds usage growth.</x:v>
      </x:c>
      <x:c r="I38" s="18" t="n">
        <x:f>(A38-B38)/B38</x:f>
        <x:v>0.35384615384615387</x:v>
      </x:c>
      <x:c r="J38" s="18" t="n">
        <x:f>(C38-D38)/D38</x:f>
        <x:v>0.038461538461538464</x:v>
      </x:c>
      <x:c r="K38" s="20" t="n">
        <x:f>B38/D38</x:f>
        <x:v>0.01</x:v>
      </x:c>
      <x:c r="L38" s="20" t="n">
        <x:f>A38/C38</x:f>
        <x:v>0.013037037037037036</x:v>
      </x:c>
      <x:c r="M38" s="18" t="n">
        <x:f>(L38-K38)/K38</x:f>
        <x:v>0.3037037037037036</x:v>
      </x:c>
    </x:row>
    <x:row r="39">
      <x:c r="A39" s="14" t="n">
        <x:v>1340</x:v>
      </x:c>
      <x:c r="B39" s="14" t="n">
        <x:v>1000</x:v>
      </x:c>
      <x:c r="C39" s="14" t="n">
        <x:v>98000</x:v>
      </x:c>
      <x:c r="D39" s="14" t="n">
        <x:v>100000</x:v>
      </x:c>
      <x:c r="E39" s="15" t="b">
        <x:v>0</x:v>
      </x:c>
      <x:c r="F39" s="15" t="b">
        <x:v>0</x:v>
      </x:c>
      <x:c r="G39" s="14" t="str">
        <x:v>cost_incident</x:v>
      </x:c>
      <x:c r="H39" s="14" t="str">
        <x:v>Higher spend despite lower workload.</x:v>
      </x:c>
      <x:c r="I39" s="18" t="n">
        <x:f>(A39-B39)/B39</x:f>
        <x:v>0.34</x:v>
      </x:c>
      <x:c r="J39" s="18" t="n">
        <x:f>(C39-D39)/D39</x:f>
        <x:v>-0.02</x:v>
      </x:c>
      <x:c r="K39" s="20" t="n">
        <x:f>B39/D39</x:f>
        <x:v>0.01</x:v>
      </x:c>
      <x:c r="L39" s="20" t="n">
        <x:f>A39/C39</x:f>
        <x:v>0.013673469387755101</x:v>
      </x:c>
      <x:c r="M39" s="18" t="n">
        <x:f>(L39-K39)/K39</x:f>
        <x:v>0.3673469387755101</x:v>
      </x:c>
    </x:row>
    <x:row r="40">
      <x:c r="A40" s="14" t="n">
        <x:v>2350</x:v>
      </x:c>
      <x:c r="B40" s="14" t="n">
        <x:v>1700</x:v>
      </x:c>
      <x:c r="C40" s="14" t="n">
        <x:v>171000</x:v>
      </x:c>
      <x:c r="D40" s="14" t="n">
        <x:v>170000</x:v>
      </x:c>
      <x:c r="E40" s="15" t="b">
        <x:v>1</x:v>
      </x:c>
      <x:c r="F40" s="15" t="b">
        <x:v>0</x:v>
      </x:c>
      <x:c r="G40" s="14" t="str">
        <x:v>cost_incident</x:v>
      </x:c>
      <x:c r="H40" s="14" t="str">
        <x:v>Recent deployment plus near-flat usage and higher spend.</x:v>
      </x:c>
      <x:c r="I40" s="18" t="n">
        <x:f>(A40-B40)/B40</x:f>
        <x:v>0.38235294117647056</x:v>
      </x:c>
      <x:c r="J40" s="18" t="n">
        <x:f>(C40-D40)/D40</x:f>
        <x:v>0.0058823529411764705</x:v>
      </x:c>
      <x:c r="K40" s="20" t="n">
        <x:f>B40/D40</x:f>
        <x:v>0.01</x:v>
      </x:c>
      <x:c r="L40" s="20" t="n">
        <x:f>A40/C40</x:f>
        <x:v>0.013742690058479532</x:v>
      </x:c>
      <x:c r="M40" s="18" t="n">
        <x:f>(L40-K40)/K40</x:f>
        <x:v>0.3742690058479532</x:v>
      </x:c>
    </x:row>
    <x:row r="41">
      <x:c r="A41" s="14" t="n">
        <x:v>1210</x:v>
      </x:c>
      <x:c r="B41" s="14" t="n">
        <x:v>850</x:v>
      </x:c>
      <x:c r="C41" s="14" t="n">
        <x:v>85000</x:v>
      </x:c>
      <x:c r="D41" s="14" t="n">
        <x:v>85000</x:v>
      </x:c>
      <x:c r="E41" s="15" t="b">
        <x:v>0</x:v>
      </x:c>
      <x:c r="F41" s="15" t="b">
        <x:v>0</x:v>
      </x:c>
      <x:c r="G41" s="14" t="str">
        <x:v>cost_incident</x:v>
      </x:c>
      <x:c r="H41" s="14" t="str">
        <x:v>Substantial cost increase with no usage change.</x:v>
      </x:c>
      <x:c r="I41" s="18" t="n">
        <x:f>(A41-B41)/B41</x:f>
        <x:v>0.4235294117647059</x:v>
      </x:c>
      <x:c r="J41" s="18" t="n">
        <x:f>(C41-D41)/D41</x:f>
        <x:v>0</x:v>
      </x:c>
      <x:c r="K41" s="20" t="n">
        <x:f>B41/D41</x:f>
        <x:v>0.01</x:v>
      </x:c>
      <x:c r="L41" s="20" t="n">
        <x:f>A41/C41</x:f>
        <x:v>0.01423529411764706</x:v>
      </x:c>
      <x:c r="M41" s="18" t="n">
        <x:f>(L41-K41)/K41</x:f>
        <x:v>0.42352941176470593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62" hidden="0" customWidth="1"/>
  </x:cols>
  <x:sheetData>
    <x:row r="1">
      <x:c r="A1" s="6" t="str">
        <x:v>Feature</x:v>
      </x:c>
      <x:c r="B1" s="6" t="str">
        <x:v>Meaning</x:v>
      </x:c>
      <x:c r="C1" s="6" t="str">
        <x:v>Why it matters</x:v>
      </x:c>
    </x:row>
    <x:row r="2">
      <x:c r="A2" s="14" t="str">
        <x:v>current_cost</x:v>
      </x:c>
      <x:c r="B2" s="14" t="str">
        <x:v>Cloud spend in the current observation period.</x:v>
      </x:c>
      <x:c r="C2" s="14" t="str">
        <x:v>Compared with baseline cost to measure how much spend changed.</x:v>
      </x:c>
    </x:row>
    <x:row r="3">
      <x:c r="A3" s="14" t="str">
        <x:v>baseline_cost</x:v>
      </x:c>
      <x:c r="B3" s="14" t="str">
        <x:v>Typical/reference spend for a comparable earlier period.</x:v>
      </x:c>
      <x:c r="C3" s="14" t="str">
        <x:v>Provides the normal comparison point.</x:v>
      </x:c>
    </x:row>
    <x:row r="4">
      <x:c r="A4" s="14" t="str">
        <x:v>current_usage</x:v>
      </x:c>
      <x:c r="B4" s="14" t="str">
        <x:v>Current workload volume (e.g. requests, compute-hours, jobs).</x:v>
      </x:c>
      <x:c r="C4" s="14" t="str">
        <x:v>Helps determine whether higher cost is explained by higher useful workload.</x:v>
      </x:c>
    </x:row>
    <x:row r="5">
      <x:c r="A5" s="14" t="str">
        <x:v>baseline_usage</x:v>
      </x:c>
      <x:c r="B5" s="14" t="str">
        <x:v>Typical/reference workload for the baseline period.</x:v>
      </x:c>
      <x:c r="C5" s="14" t="str">
        <x:v>Lets the agent compare workload growth with cost growth.</x:v>
      </x:c>
    </x:row>
    <x:row r="6">
      <x:c r="A6" s="14" t="str">
        <x:v>recent_deployment</x:v>
      </x:c>
      <x:c r="B6" s="14" t="str">
        <x:v>TRUE if a recent operational/software change occurred.</x:v>
      </x:c>
      <x:c r="C6" s="14" t="str">
        <x:v>Evidence of a possible operational cause, but not proof.</x:v>
      </x:c>
    </x:row>
    <x:row r="7">
      <x:c r="A7" s="14" t="str">
        <x:v>expected_pattern</x:v>
      </x:c>
      <x:c r="B7" s="14" t="str">
        <x:v>TRUE if behaviour matches a known recurring pattern such as a scheduled batch or month-end job.</x:v>
      </x:c>
      <x:c r="C7" s="14" t="str">
        <x:v>Evidence that a spike may be expected rather than an incident.</x:v>
      </x:c>
    </x:row>
    <x:row r="8">
      <x:c r="A8" s="14" t="str">
        <x:v>true_state</x:v>
      </x:c>
      <x:c r="B8" s="14" t="str">
        <x:v>Simulated ground truth used only for evaluation.</x:v>
      </x:c>
      <x:c r="C8" s="14" t="str">
        <x:v>The agent must not use this field when deciding.</x:v>
      </x:c>
    </x:row>
    <x:row r="9">
      <x:c r="A9" s="14" t="str">
        <x:v>unit_cost</x:v>
      </x:c>
      <x:c r="B9" s="14" t="str">
        <x:v>Cost per unit of workload = cloud cost / usage.</x:v>
      </x:c>
      <x:c r="C9" s="14" t="str">
        <x:v>Shows whether each unit of useful work became more expensive.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  <x:col min="3" max="3" width="62" hidden="0" customWidth="1"/>
  </x:cols>
  <x:sheetData>
    <x:row r="1">
      <x:c r="A1" s="6" t="str">
        <x:v>Pattern</x:v>
      </x:c>
      <x:c r="B1" s="6" t="str">
        <x:v>Typical interpretation</x:v>
      </x:c>
      <x:c r="C1" s="6" t="str">
        <x:v>Why</x:v>
      </x:c>
    </x:row>
    <x:row r="2">
      <x:c r="A2" s="14" t="str">
        <x:v>Cost ↑ and Usage ↑ similarly</x:v>
      </x:c>
      <x:c r="B2" s="14" t="str">
        <x:v>Legitimate growth</x:v>
      </x:c>
      <x:c r="C2" s="14" t="str">
        <x:v>Unit cost stays roughly stable, so more spend is explained by more workload.</x:v>
      </x:c>
    </x:row>
    <x:row r="3">
      <x:c r="A3" s="14" t="str">
        <x:v>Cost ↑ much faster than Usage</x:v>
      </x:c>
      <x:c r="B3" s="14" t="str">
        <x:v>Cost incident</x:v>
      </x:c>
      <x:c r="C3" s="14" t="str">
        <x:v>Unit cost rises: each unit of workload became more expensive.</x:v>
      </x:c>
    </x:row>
    <x:row r="4">
      <x:c r="A4" s="14" t="str">
        <x:v>Cost and Usage near baseline</x:v>
      </x:c>
      <x:c r="B4" s="14" t="str">
        <x:v>Normal variation</x:v>
      </x:c>
      <x:c r="C4" s="14" t="str">
        <x:v>No large workload or efficiency change is visible.</x:v>
      </x:c>
    </x:row>
    <x:row r="5">
      <x:c r="A5" s="14" t="str">
        <x:v>expected_pattern = TRUE</x:v>
      </x:c>
      <x:c r="B5" s="14" t="str">
        <x:v>Expected pattern</x:v>
      </x:c>
      <x:c r="C5" s="14" t="str">
        <x:v>The change matches known recurring behaviour.</x:v>
      </x:c>
    </x:row>
    <x:row r="6">
      <x:c r="A6" s="14" t="str">
        <x:v>recent_deployment = TRUE + Unit Cost ↑ strongly</x:v>
      </x:c>
      <x:c r="B6" s="14" t="str">
        <x:v>Possible incident</x:v>
      </x:c>
      <x:c r="C6" s="14" t="str">
        <x:v>A recent change may explain the efficiency deterioration, but deployment alone is not proof.</x:v>
      </x:c>
    </x:row>
    <x:row r="7">
      <x:c r="A7" s="14" t="str">
        <x:v>Usage ↑ faster than Cost</x:v>
      </x:c>
      <x:c r="B7" s="14" t="str">
        <x:v>Efficient legitimate growth</x:v>
      </x:c>
      <x:c r="C7" s="14" t="str">
        <x:v>More workload is handled while unit cost stays flat or falls.</x:v>
      </x:c>
    </x:row>
  </x:sheetData>
  <x:pageMargins left="0.7" right="0.7" top="0.75" bottom="0.75" header="0.3" footer="0.3"/>
</x:worksheet>
</file>